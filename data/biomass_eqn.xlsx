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7FA96F-3AF6-442C-8B2C-A2DE37B1B7D6}" xr6:coauthVersionLast="36" xr6:coauthVersionMax="47" xr10:uidLastSave="{00000000-0000-0000-0000-000000000000}"/>
  <bookViews>
    <workbookView xWindow="0" yWindow="765" windowWidth="15075" windowHeight="17415" xr2:uid="{78CF3B7A-E835-4ABC-9867-F2E0CE788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4" i="1"/>
  <c r="B27" i="1"/>
  <c r="D26" i="1"/>
  <c r="D25" i="1"/>
  <c r="D24" i="1"/>
  <c r="E24" i="1" s="1"/>
  <c r="F24" i="1" s="1"/>
  <c r="E23" i="1"/>
  <c r="F23" i="1" s="1"/>
  <c r="F20" i="1"/>
  <c r="G20" i="1" s="1"/>
  <c r="F21" i="1"/>
  <c r="G21" i="1" s="1"/>
  <c r="F22" i="1"/>
  <c r="G22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E8" i="1"/>
  <c r="E9" i="1"/>
  <c r="E10" i="1"/>
  <c r="E11" i="1"/>
  <c r="E12" i="1"/>
  <c r="E13" i="1"/>
  <c r="E14" i="1"/>
  <c r="F14" i="1" s="1"/>
  <c r="G14" i="1" s="1"/>
  <c r="E15" i="1"/>
  <c r="F15" i="1" s="1"/>
  <c r="E16" i="1"/>
  <c r="E17" i="1"/>
  <c r="F17" i="1" s="1"/>
  <c r="G17" i="1" s="1"/>
  <c r="E18" i="1"/>
  <c r="E19" i="1"/>
  <c r="F19" i="1" s="1"/>
  <c r="G19" i="1" s="1"/>
  <c r="E20" i="1"/>
  <c r="E21" i="1"/>
  <c r="E22" i="1"/>
  <c r="E7" i="1"/>
  <c r="F7" i="1" s="1"/>
  <c r="G7" i="1" s="1"/>
  <c r="J29" i="1" l="1"/>
  <c r="J9" i="1"/>
  <c r="J42" i="1"/>
  <c r="J22" i="1"/>
  <c r="J7" i="1"/>
  <c r="J27" i="1"/>
  <c r="J12" i="1"/>
  <c r="J32" i="1"/>
  <c r="J28" i="1"/>
  <c r="J8" i="1"/>
  <c r="J41" i="1"/>
  <c r="J21" i="1"/>
  <c r="J19" i="1"/>
  <c r="J39" i="1"/>
  <c r="J17" i="1"/>
  <c r="J37" i="1"/>
  <c r="J31" i="1"/>
  <c r="J11" i="1"/>
  <c r="G15" i="1"/>
  <c r="J14" i="1"/>
  <c r="J34" i="1"/>
  <c r="J40" i="1"/>
  <c r="J20" i="1"/>
  <c r="J13" i="1"/>
  <c r="J33" i="1"/>
  <c r="J30" i="1"/>
  <c r="J10" i="1"/>
  <c r="J23" i="1"/>
  <c r="J43" i="1"/>
  <c r="J24" i="1"/>
  <c r="J44" i="1"/>
  <c r="F26" i="1"/>
  <c r="F25" i="1"/>
  <c r="E25" i="1" l="1"/>
  <c r="B25" i="1" s="1"/>
  <c r="G25" i="1"/>
  <c r="J35" i="1"/>
  <c r="J15" i="1"/>
  <c r="E26" i="1"/>
  <c r="B26" i="1" s="1"/>
  <c r="G26" i="1"/>
  <c r="F18" i="1"/>
  <c r="G18" i="1" s="1"/>
  <c r="F16" i="1"/>
  <c r="J18" i="1" l="1"/>
  <c r="J38" i="1"/>
  <c r="J25" i="1"/>
  <c r="J45" i="1"/>
  <c r="G16" i="1"/>
  <c r="F27" i="1"/>
  <c r="J46" i="1"/>
  <c r="J26" i="1"/>
  <c r="J16" i="1" l="1"/>
  <c r="J36" i="1"/>
</calcChain>
</file>

<file path=xl/sharedStrings.xml><?xml version="1.0" encoding="utf-8"?>
<sst xmlns="http://schemas.openxmlformats.org/spreadsheetml/2006/main" count="122" uniqueCount="119">
  <si>
    <t>Component</t>
  </si>
  <si>
    <t>Dry matter</t>
  </si>
  <si>
    <t>Nitrogenous Substances</t>
  </si>
  <si>
    <t>Protein and free amino acids</t>
  </si>
  <si>
    <t>Fat</t>
  </si>
  <si>
    <t>Amino acids</t>
  </si>
  <si>
    <t>Thr</t>
  </si>
  <si>
    <t>Val</t>
  </si>
  <si>
    <t>Met</t>
  </si>
  <si>
    <t>Ile</t>
  </si>
  <si>
    <t>Leu</t>
  </si>
  <si>
    <t>Phe</t>
  </si>
  <si>
    <t>His</t>
  </si>
  <si>
    <t>Lys</t>
  </si>
  <si>
    <t>Arg</t>
  </si>
  <si>
    <t>Asp</t>
  </si>
  <si>
    <t>Ser</t>
  </si>
  <si>
    <t>Glu</t>
  </si>
  <si>
    <t>Pro</t>
  </si>
  <si>
    <t>Gly</t>
  </si>
  <si>
    <t>Ala</t>
  </si>
  <si>
    <t>Tyr</t>
  </si>
  <si>
    <t>SUM_total</t>
  </si>
  <si>
    <t>coeff</t>
  </si>
  <si>
    <t>Mean values (in g/kg)</t>
    <phoneticPr fontId="3" type="noConversion"/>
  </si>
  <si>
    <t>Cys</t>
  </si>
  <si>
    <t>Trp</t>
  </si>
  <si>
    <t>Asn</t>
  </si>
  <si>
    <t>Gln</t>
  </si>
  <si>
    <t>reference: https://www.fao.org/4/t0562e/T0562E09.htm/, *MDM - mechanically deboned meat
(Pellet and Young 1990)</t>
  </si>
  <si>
    <t>reference</t>
  </si>
  <si>
    <t>https://www.kazusa.or.jp/codon/cgi-bin/showcodon.cgi?species=9913</t>
  </si>
  <si>
    <t>MW</t>
  </si>
  <si>
    <t>mmol/gDCW_adjust</t>
  </si>
  <si>
    <t>mmol/gDCW</t>
  </si>
  <si>
    <t>met_name</t>
  </si>
  <si>
    <t>met_id</t>
  </si>
  <si>
    <t>L-threonyl-tRNA(thr)</t>
  </si>
  <si>
    <t>MAM02419c</t>
    <phoneticPr fontId="3" type="noConversion"/>
  </si>
  <si>
    <t>L-valyl-tRNA(val)</t>
  </si>
  <si>
    <t>MAM02423c</t>
  </si>
  <si>
    <t>L-methionyl-tRNA(met)</t>
    <phoneticPr fontId="3" type="noConversion"/>
  </si>
  <si>
    <t>MAM02408c</t>
  </si>
  <si>
    <t>L-isoleucyl-tRNA(ile)</t>
    <phoneticPr fontId="3" type="noConversion"/>
  </si>
  <si>
    <t>MAM02401c</t>
  </si>
  <si>
    <t>L-leucyl-tRNA(leu)</t>
  </si>
  <si>
    <t>MAM02404c</t>
  </si>
  <si>
    <t>L-phenylalanyl-tRNA(phe)</t>
    <phoneticPr fontId="3" type="noConversion"/>
  </si>
  <si>
    <t>MAM02412c</t>
    <phoneticPr fontId="3" type="noConversion"/>
  </si>
  <si>
    <t>L-histidyl-tRNA(his)</t>
    <phoneticPr fontId="3" type="noConversion"/>
  </si>
  <si>
    <t>MAM02380c</t>
  </si>
  <si>
    <t>L-lysyl-tRNA(lys)</t>
  </si>
  <si>
    <t>MAM02405c</t>
    <phoneticPr fontId="3" type="noConversion"/>
  </si>
  <si>
    <t>L-arginyl-tRNA(arg)</t>
  </si>
  <si>
    <t>MAM02340c</t>
    <phoneticPr fontId="3" type="noConversion"/>
  </si>
  <si>
    <t>L-aspartyl-tRNA(asp)</t>
  </si>
  <si>
    <t>MAM02342c</t>
    <phoneticPr fontId="3" type="noConversion"/>
  </si>
  <si>
    <t>L-seryl-tRNA(ser)</t>
    <phoneticPr fontId="3" type="noConversion"/>
  </si>
  <si>
    <t>MAM02416c</t>
    <phoneticPr fontId="3" type="noConversion"/>
  </si>
  <si>
    <t>L-glutamyl-tRNA(glu)</t>
    <phoneticPr fontId="3" type="noConversion"/>
  </si>
  <si>
    <t>MAM02377c</t>
    <phoneticPr fontId="3" type="noConversion"/>
  </si>
  <si>
    <t>L-prolyl-tRNA(pro)</t>
    <phoneticPr fontId="3" type="noConversion"/>
  </si>
  <si>
    <t>MAM02415c</t>
    <phoneticPr fontId="3" type="noConversion"/>
  </si>
  <si>
    <t>glycyl-tRNA(gly)</t>
    <phoneticPr fontId="3" type="noConversion"/>
  </si>
  <si>
    <t>MAM02006c</t>
  </si>
  <si>
    <t>L-alanyl-tRNA(ala)</t>
    <phoneticPr fontId="3" type="noConversion"/>
  </si>
  <si>
    <t>MAM02335c</t>
    <phoneticPr fontId="3" type="noConversion"/>
  </si>
  <si>
    <t>L-tyrosyl-tRNA(tyr)</t>
    <phoneticPr fontId="3" type="noConversion"/>
  </si>
  <si>
    <t>MAM02421c</t>
  </si>
  <si>
    <t>MAM02351c</t>
  </si>
  <si>
    <t xml:space="preserve">MAM02420c </t>
  </si>
  <si>
    <t>MAM02341c</t>
  </si>
  <si>
    <t xml:space="preserve">MAM02376c </t>
  </si>
  <si>
    <t>L-asparaginyl-tRNA(asn)</t>
  </si>
  <si>
    <t>L-tryptophanyl-tRNA(trp)</t>
  </si>
  <si>
    <t>L-cysteinyl-tRNA(cys)</t>
  </si>
  <si>
    <t>L-glutaminyl-tRNA(gln)</t>
  </si>
  <si>
    <t>tRNA(thr)</t>
    <phoneticPr fontId="3" type="noConversion"/>
  </si>
  <si>
    <t>MAM03079c</t>
    <phoneticPr fontId="3" type="noConversion"/>
  </si>
  <si>
    <t>tRNA(val)</t>
    <phoneticPr fontId="3" type="noConversion"/>
  </si>
  <si>
    <t>MAM03082c</t>
    <phoneticPr fontId="3" type="noConversion"/>
  </si>
  <si>
    <t>tRNA(met)</t>
    <phoneticPr fontId="3" type="noConversion"/>
  </si>
  <si>
    <t>MAM03075c</t>
    <phoneticPr fontId="3" type="noConversion"/>
  </si>
  <si>
    <t>tRNA(ile)</t>
    <phoneticPr fontId="3" type="noConversion"/>
  </si>
  <si>
    <t>MAM03072c</t>
    <phoneticPr fontId="3" type="noConversion"/>
  </si>
  <si>
    <t>tRNA(leu)</t>
    <phoneticPr fontId="3" type="noConversion"/>
  </si>
  <si>
    <t>MAM03073c</t>
    <phoneticPr fontId="3" type="noConversion"/>
  </si>
  <si>
    <t>tRNA(phe)</t>
    <phoneticPr fontId="3" type="noConversion"/>
  </si>
  <si>
    <t>MAM03076c</t>
    <phoneticPr fontId="3" type="noConversion"/>
  </si>
  <si>
    <t>tRNA(his)</t>
  </si>
  <si>
    <t>MAM03071c</t>
    <phoneticPr fontId="3" type="noConversion"/>
  </si>
  <si>
    <t>tRNA(lys)</t>
    <phoneticPr fontId="3" type="noConversion"/>
  </si>
  <si>
    <t>MAM03074c</t>
    <phoneticPr fontId="3" type="noConversion"/>
  </si>
  <si>
    <t>tRNA(arg)</t>
  </si>
  <si>
    <t>MAM03064c</t>
    <phoneticPr fontId="3" type="noConversion"/>
  </si>
  <si>
    <t>tRNA(asp)</t>
    <phoneticPr fontId="3" type="noConversion"/>
  </si>
  <si>
    <t>MAM03066c</t>
    <phoneticPr fontId="3" type="noConversion"/>
  </si>
  <si>
    <t>tRNA(ser)</t>
    <phoneticPr fontId="3" type="noConversion"/>
  </si>
  <si>
    <t>MAM03078c</t>
    <phoneticPr fontId="3" type="noConversion"/>
  </si>
  <si>
    <t>tRNA(glu)</t>
    <phoneticPr fontId="3" type="noConversion"/>
  </si>
  <si>
    <t>MAM03069c</t>
    <phoneticPr fontId="3" type="noConversion"/>
  </si>
  <si>
    <t>tRNA(pro)</t>
    <phoneticPr fontId="3" type="noConversion"/>
  </si>
  <si>
    <t>MAM03077c</t>
    <phoneticPr fontId="3" type="noConversion"/>
  </si>
  <si>
    <t>tRNA(gly)</t>
    <phoneticPr fontId="3" type="noConversion"/>
  </si>
  <si>
    <t>MAM03070c</t>
  </si>
  <si>
    <t>tRNA(ala)</t>
  </si>
  <si>
    <t>MAM03063c</t>
  </si>
  <si>
    <t>tRNA(tyr)</t>
    <phoneticPr fontId="3" type="noConversion"/>
  </si>
  <si>
    <t>MAM03081c</t>
    <phoneticPr fontId="3" type="noConversion"/>
  </si>
  <si>
    <t>tRNA(cys)</t>
  </si>
  <si>
    <t xml:space="preserve">MAM03067c </t>
  </si>
  <si>
    <t>tRNA(trp)</t>
  </si>
  <si>
    <t xml:space="preserve">MAM03080c </t>
  </si>
  <si>
    <t>tRNA(asn)</t>
  </si>
  <si>
    <t xml:space="preserve">MAM03065c </t>
  </si>
  <si>
    <t>tRNA(gln)</t>
  </si>
  <si>
    <t>MAM03068c</t>
  </si>
  <si>
    <t>MAM10013c</t>
  </si>
  <si>
    <t xml:space="preserve">protein_pool_biomass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</si>
</sst>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charset val="129"/>
      <scheme val="minor"/>
    </font>
    <font>
      <sz val="11"/>
      <color rgb="FF000000"/>
      <name val="Courier New"/>
      <family val="3"/>
    </font>
    <font>
      <u/>
      <sz val="11"/>
      <color theme="10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0" fontId="0" fillId="5" borderId="0" xfId="0" applyFill="1" applyAlignment="1">
      <alignment wrapText="1"/>
    </xf>
    <xf numFmtId="0" fontId="0" fillId="5" borderId="0" xfId="0" applyFill="1"/>
    <xf numFmtId="0" fontId="4" fillId="0" borderId="0" xfId="0" applyFont="1" applyAlignment="1">
      <alignment horizontal="left" vertical="center"/>
    </xf>
    <xf numFmtId="0" fontId="5" fillId="3" borderId="4" xfId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zusa.or.jp/codon/cgi-bin/showcodon.cgi?species=9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6033-B07D-4903-AE8A-F3E2F2920D2E}">
  <dimension ref="A1:J47"/>
  <sheetViews>
    <sheetView tabSelected="1" zoomScaleNormal="100" workbookViewId="0">
      <selection activeCell="C10" sqref="C10"/>
    </sheetView>
  </sheetViews>
  <sheetFormatPr defaultColWidth="8.85546875" defaultRowHeight="15"/>
  <cols>
    <col min="1" max="1" width="20.85546875" customWidth="1"/>
    <col min="2" max="2" width="23.7109375" customWidth="1"/>
    <col min="3" max="3" width="90.7109375" customWidth="1"/>
    <col min="8" max="8" width="24.5703125" bestFit="1" customWidth="1"/>
    <col min="9" max="9" width="14.42578125" bestFit="1" customWidth="1"/>
  </cols>
  <sheetData>
    <row r="1" spans="1:10" ht="15.75" thickBot="1">
      <c r="A1" s="1" t="s">
        <v>0</v>
      </c>
      <c r="B1" s="1" t="s">
        <v>24</v>
      </c>
      <c r="C1" t="s">
        <v>30</v>
      </c>
      <c r="D1" t="s">
        <v>32</v>
      </c>
      <c r="E1" t="s">
        <v>34</v>
      </c>
      <c r="F1" t="s">
        <v>33</v>
      </c>
      <c r="G1" t="s">
        <v>23</v>
      </c>
      <c r="H1" t="s">
        <v>35</v>
      </c>
      <c r="I1" t="s">
        <v>36</v>
      </c>
      <c r="J1" t="s">
        <v>23</v>
      </c>
    </row>
    <row r="2" spans="1:10" ht="15.75" thickBot="1">
      <c r="A2" s="2" t="s">
        <v>1</v>
      </c>
      <c r="B2" s="3">
        <v>265.99</v>
      </c>
    </row>
    <row r="3" spans="1:10" ht="25.5" customHeight="1" thickBot="1">
      <c r="A3" s="2" t="s">
        <v>2</v>
      </c>
      <c r="B3" s="3">
        <v>860.01</v>
      </c>
      <c r="D3" s="2"/>
    </row>
    <row r="4" spans="1:10" ht="27" thickBot="1">
      <c r="A4" s="2" t="s">
        <v>3</v>
      </c>
      <c r="B4" s="3">
        <v>810.25</v>
      </c>
      <c r="D4" s="2"/>
    </row>
    <row r="5" spans="1:10" ht="15.75" thickBot="1">
      <c r="A5" s="2" t="s">
        <v>4</v>
      </c>
      <c r="B5" s="3">
        <v>116.3</v>
      </c>
    </row>
    <row r="6" spans="1:10" ht="15.75" thickBot="1">
      <c r="A6" s="15" t="s">
        <v>5</v>
      </c>
      <c r="B6" s="16"/>
    </row>
    <row r="7" spans="1:10" ht="15.75" thickBot="1">
      <c r="A7" s="2" t="s">
        <v>6</v>
      </c>
      <c r="B7" s="3">
        <v>36.450000000000003</v>
      </c>
      <c r="D7">
        <v>119.12</v>
      </c>
      <c r="E7">
        <f>B7/D7</f>
        <v>0.30599395567494964</v>
      </c>
      <c r="F7">
        <f t="shared" ref="F7:F15" si="0">E7</f>
        <v>0.30599395567494964</v>
      </c>
      <c r="G7">
        <f>F7/6.48016</f>
        <v>4.7220123527034773E-2</v>
      </c>
      <c r="H7" t="s">
        <v>37</v>
      </c>
      <c r="I7" t="s">
        <v>38</v>
      </c>
      <c r="J7">
        <f>-G7</f>
        <v>-4.7220123527034773E-2</v>
      </c>
    </row>
    <row r="8" spans="1:10" ht="15.75" thickBot="1">
      <c r="A8" s="2" t="s">
        <v>7</v>
      </c>
      <c r="B8" s="3">
        <v>40.49</v>
      </c>
      <c r="D8">
        <v>117.15</v>
      </c>
      <c r="E8">
        <f t="shared" ref="E8:E23" si="1">B8/D8</f>
        <v>0.34562526675202732</v>
      </c>
      <c r="F8">
        <f t="shared" si="0"/>
        <v>0.34562526675202732</v>
      </c>
      <c r="G8">
        <f t="shared" ref="G8:G26" si="2">F8/6.48016</f>
        <v>5.3335915587273665E-2</v>
      </c>
      <c r="H8" t="s">
        <v>39</v>
      </c>
      <c r="I8" t="s">
        <v>40</v>
      </c>
      <c r="J8">
        <f t="shared" ref="J8:J26" si="3">-G8</f>
        <v>-5.3335915587273665E-2</v>
      </c>
    </row>
    <row r="9" spans="1:10" ht="15.75" thickBot="1">
      <c r="A9" s="2" t="s">
        <v>8</v>
      </c>
      <c r="B9" s="3">
        <v>21.13</v>
      </c>
      <c r="D9">
        <v>149.21</v>
      </c>
      <c r="E9">
        <f t="shared" si="1"/>
        <v>0.14161249246029084</v>
      </c>
      <c r="F9">
        <f t="shared" si="0"/>
        <v>0.14161249246029084</v>
      </c>
      <c r="G9">
        <f t="shared" si="2"/>
        <v>2.18532401144865E-2</v>
      </c>
      <c r="H9" t="s">
        <v>41</v>
      </c>
      <c r="I9" t="s">
        <v>42</v>
      </c>
      <c r="J9">
        <f t="shared" si="3"/>
        <v>-2.18532401144865E-2</v>
      </c>
    </row>
    <row r="10" spans="1:10" ht="15.75" thickBot="1">
      <c r="A10" s="2" t="s">
        <v>9</v>
      </c>
      <c r="B10" s="3">
        <v>38.1</v>
      </c>
      <c r="D10">
        <v>131.16999999999999</v>
      </c>
      <c r="E10">
        <f t="shared" si="1"/>
        <v>0.29046275825264928</v>
      </c>
      <c r="F10">
        <f t="shared" si="0"/>
        <v>0.29046275825264928</v>
      </c>
      <c r="G10">
        <f t="shared" si="2"/>
        <v>4.4823392979903162E-2</v>
      </c>
      <c r="H10" t="s">
        <v>43</v>
      </c>
      <c r="I10" t="s">
        <v>44</v>
      </c>
      <c r="J10">
        <f t="shared" si="3"/>
        <v>-4.4823392979903162E-2</v>
      </c>
    </row>
    <row r="11" spans="1:10" ht="15.75" thickBot="1">
      <c r="A11" s="2" t="s">
        <v>10</v>
      </c>
      <c r="B11" s="3">
        <v>66.13</v>
      </c>
      <c r="D11">
        <v>131.16999999999999</v>
      </c>
      <c r="E11">
        <f t="shared" si="1"/>
        <v>0.50415491347106811</v>
      </c>
      <c r="F11">
        <f t="shared" si="0"/>
        <v>0.50415491347106811</v>
      </c>
      <c r="G11">
        <f t="shared" si="2"/>
        <v>7.7799763195826668E-2</v>
      </c>
      <c r="H11" t="s">
        <v>45</v>
      </c>
      <c r="I11" t="s">
        <v>46</v>
      </c>
      <c r="J11">
        <f t="shared" si="3"/>
        <v>-7.7799763195826668E-2</v>
      </c>
    </row>
    <row r="12" spans="1:10" ht="15.75" thickBot="1">
      <c r="A12" s="2" t="s">
        <v>11</v>
      </c>
      <c r="B12" s="3">
        <v>28.95</v>
      </c>
      <c r="D12">
        <v>165.19</v>
      </c>
      <c r="E12">
        <f t="shared" si="1"/>
        <v>0.1752527392699316</v>
      </c>
      <c r="F12">
        <f t="shared" si="0"/>
        <v>0.1752527392699316</v>
      </c>
      <c r="G12">
        <f t="shared" si="2"/>
        <v>2.7044508047630245E-2</v>
      </c>
      <c r="H12" t="s">
        <v>47</v>
      </c>
      <c r="I12" t="s">
        <v>48</v>
      </c>
      <c r="J12">
        <f t="shared" si="3"/>
        <v>-2.7044508047630245E-2</v>
      </c>
    </row>
    <row r="13" spans="1:10" ht="15.75" thickBot="1">
      <c r="A13" s="2" t="s">
        <v>12</v>
      </c>
      <c r="B13" s="3">
        <v>37.840000000000003</v>
      </c>
      <c r="D13">
        <v>155.15</v>
      </c>
      <c r="E13">
        <f t="shared" si="1"/>
        <v>0.24389300676764422</v>
      </c>
      <c r="F13">
        <f t="shared" si="0"/>
        <v>0.24389300676764422</v>
      </c>
      <c r="G13">
        <f t="shared" si="2"/>
        <v>3.7636880380676439E-2</v>
      </c>
      <c r="H13" t="s">
        <v>49</v>
      </c>
      <c r="I13" t="s">
        <v>50</v>
      </c>
      <c r="J13">
        <f t="shared" si="3"/>
        <v>-3.7636880380676439E-2</v>
      </c>
    </row>
    <row r="14" spans="1:10" ht="15.75" thickBot="1">
      <c r="A14" s="2" t="s">
        <v>13</v>
      </c>
      <c r="B14" s="3">
        <v>77.36</v>
      </c>
      <c r="D14">
        <v>146.19</v>
      </c>
      <c r="E14">
        <f t="shared" si="1"/>
        <v>0.52917436213147273</v>
      </c>
      <c r="F14">
        <f t="shared" si="0"/>
        <v>0.52917436213147273</v>
      </c>
      <c r="G14">
        <f t="shared" si="2"/>
        <v>8.1660693892044764E-2</v>
      </c>
      <c r="H14" t="s">
        <v>51</v>
      </c>
      <c r="I14" t="s">
        <v>52</v>
      </c>
      <c r="J14">
        <f t="shared" si="3"/>
        <v>-8.1660693892044764E-2</v>
      </c>
    </row>
    <row r="15" spans="1:10" ht="15.75" thickBot="1">
      <c r="A15" s="2" t="s">
        <v>14</v>
      </c>
      <c r="B15" s="3">
        <v>63.73</v>
      </c>
      <c r="D15">
        <v>174.2</v>
      </c>
      <c r="E15">
        <f t="shared" si="1"/>
        <v>0.3658438576349024</v>
      </c>
      <c r="F15">
        <f t="shared" si="0"/>
        <v>0.3658438576349024</v>
      </c>
      <c r="G15">
        <f t="shared" si="2"/>
        <v>5.6455991462387105E-2</v>
      </c>
      <c r="H15" t="s">
        <v>53</v>
      </c>
      <c r="I15" t="s">
        <v>54</v>
      </c>
      <c r="J15">
        <f t="shared" si="3"/>
        <v>-5.6455991462387105E-2</v>
      </c>
    </row>
    <row r="16" spans="1:10" ht="15.75" thickBot="1">
      <c r="A16" s="6" t="s">
        <v>15</v>
      </c>
      <c r="B16" s="6">
        <v>75.48</v>
      </c>
      <c r="C16" s="6"/>
      <c r="D16" s="6">
        <v>133.1</v>
      </c>
      <c r="E16" s="6">
        <f t="shared" si="1"/>
        <v>0.56709241172051095</v>
      </c>
      <c r="F16" s="6">
        <f>E16-F25</f>
        <v>0.32607813673929381</v>
      </c>
      <c r="G16">
        <f t="shared" si="2"/>
        <v>5.0319457658343905E-2</v>
      </c>
      <c r="H16" t="s">
        <v>55</v>
      </c>
      <c r="I16" t="s">
        <v>56</v>
      </c>
      <c r="J16">
        <f t="shared" si="3"/>
        <v>-5.0319457658343905E-2</v>
      </c>
    </row>
    <row r="17" spans="1:10" ht="15.75" thickBot="1">
      <c r="A17" s="2" t="s">
        <v>16</v>
      </c>
      <c r="B17" s="3">
        <v>27.78</v>
      </c>
      <c r="D17">
        <v>87.08</v>
      </c>
      <c r="E17">
        <f t="shared" si="1"/>
        <v>0.31901699586587046</v>
      </c>
      <c r="F17">
        <f>$E$17</f>
        <v>0.31901699586587046</v>
      </c>
      <c r="G17">
        <f t="shared" si="2"/>
        <v>4.9229802329860753E-2</v>
      </c>
      <c r="H17" t="s">
        <v>57</v>
      </c>
      <c r="I17" t="s">
        <v>58</v>
      </c>
      <c r="J17">
        <f t="shared" si="3"/>
        <v>-4.9229802329860753E-2</v>
      </c>
    </row>
    <row r="18" spans="1:10" ht="15.75" thickBot="1">
      <c r="A18" s="7" t="s">
        <v>17</v>
      </c>
      <c r="B18" s="7">
        <v>115.23</v>
      </c>
      <c r="C18" s="7"/>
      <c r="D18" s="7">
        <v>147.13</v>
      </c>
      <c r="E18" s="7">
        <f t="shared" si="1"/>
        <v>0.783184938489771</v>
      </c>
      <c r="F18" s="7">
        <f>E18-F26</f>
        <v>0.4714773329708421</v>
      </c>
      <c r="G18">
        <f t="shared" si="2"/>
        <v>7.2757051210285265E-2</v>
      </c>
      <c r="H18" t="s">
        <v>59</v>
      </c>
      <c r="I18" t="s">
        <v>60</v>
      </c>
      <c r="J18">
        <f t="shared" si="3"/>
        <v>-7.2757051210285265E-2</v>
      </c>
    </row>
    <row r="19" spans="1:10" ht="15.75" thickBot="1">
      <c r="A19" s="2" t="s">
        <v>18</v>
      </c>
      <c r="B19" s="3">
        <v>47.1</v>
      </c>
      <c r="D19">
        <v>115.13</v>
      </c>
      <c r="E19">
        <f t="shared" si="1"/>
        <v>0.40910275340918967</v>
      </c>
      <c r="F19">
        <f t="shared" ref="F19:F24" si="4">E19</f>
        <v>0.40910275340918967</v>
      </c>
      <c r="G19">
        <f t="shared" si="2"/>
        <v>6.3131582153710661E-2</v>
      </c>
      <c r="H19" t="s">
        <v>61</v>
      </c>
      <c r="I19" t="s">
        <v>62</v>
      </c>
      <c r="J19">
        <f t="shared" si="3"/>
        <v>-6.3131582153710661E-2</v>
      </c>
    </row>
    <row r="20" spans="1:10" ht="15.75" thickBot="1">
      <c r="A20" s="2" t="s">
        <v>19</v>
      </c>
      <c r="B20" s="3">
        <v>42.44</v>
      </c>
      <c r="D20">
        <v>75.069999999999993</v>
      </c>
      <c r="E20">
        <f t="shared" si="1"/>
        <v>0.56533901691754362</v>
      </c>
      <c r="F20">
        <f t="shared" si="4"/>
        <v>0.56533901691754362</v>
      </c>
      <c r="G20">
        <f t="shared" si="2"/>
        <v>8.7241521338600234E-2</v>
      </c>
      <c r="H20" t="s">
        <v>63</v>
      </c>
      <c r="I20" t="s">
        <v>64</v>
      </c>
      <c r="J20">
        <f t="shared" si="3"/>
        <v>-8.7241521338600234E-2</v>
      </c>
    </row>
    <row r="21" spans="1:10" ht="15.75" thickBot="1">
      <c r="A21" s="2" t="s">
        <v>20</v>
      </c>
      <c r="B21" s="3">
        <v>50.05</v>
      </c>
      <c r="D21">
        <v>89.09</v>
      </c>
      <c r="E21">
        <f t="shared" si="1"/>
        <v>0.5617914468514984</v>
      </c>
      <c r="F21">
        <f t="shared" si="4"/>
        <v>0.5617914468514984</v>
      </c>
      <c r="G21">
        <f t="shared" si="2"/>
        <v>8.6694070339543836E-2</v>
      </c>
      <c r="H21" t="s">
        <v>65</v>
      </c>
      <c r="I21" t="s">
        <v>66</v>
      </c>
      <c r="J21">
        <f t="shared" si="3"/>
        <v>-8.6694070339543836E-2</v>
      </c>
    </row>
    <row r="22" spans="1:10" ht="15.75" thickBot="1">
      <c r="A22" s="2" t="s">
        <v>21</v>
      </c>
      <c r="B22" s="3">
        <v>41.99</v>
      </c>
      <c r="D22">
        <v>181.19</v>
      </c>
      <c r="E22">
        <f t="shared" si="1"/>
        <v>0.23174568132899168</v>
      </c>
      <c r="F22">
        <f t="shared" si="4"/>
        <v>0.23174568132899168</v>
      </c>
      <c r="G22">
        <f t="shared" si="2"/>
        <v>3.5762339406587441E-2</v>
      </c>
      <c r="H22" t="s">
        <v>67</v>
      </c>
      <c r="I22" t="s">
        <v>68</v>
      </c>
      <c r="J22">
        <f t="shared" si="3"/>
        <v>-3.5762339406587441E-2</v>
      </c>
    </row>
    <row r="23" spans="1:10" ht="30">
      <c r="A23" s="9" t="s">
        <v>25</v>
      </c>
      <c r="B23" s="10">
        <v>11.64</v>
      </c>
      <c r="C23" s="11" t="s">
        <v>29</v>
      </c>
      <c r="D23" s="12">
        <v>121.16</v>
      </c>
      <c r="E23" s="12">
        <f t="shared" si="1"/>
        <v>9.6071310663585346E-2</v>
      </c>
      <c r="F23" s="12">
        <f t="shared" si="4"/>
        <v>9.6071310663585346E-2</v>
      </c>
      <c r="G23">
        <f t="shared" si="2"/>
        <v>1.4825453486269683E-2</v>
      </c>
      <c r="H23" t="s">
        <v>75</v>
      </c>
      <c r="I23" t="s">
        <v>69</v>
      </c>
      <c r="J23">
        <f t="shared" si="3"/>
        <v>-1.4825453486269683E-2</v>
      </c>
    </row>
    <row r="24" spans="1:10" ht="27.75" customHeight="1">
      <c r="A24" s="9" t="s">
        <v>26</v>
      </c>
      <c r="B24" s="10">
        <v>9.15</v>
      </c>
      <c r="C24" s="11" t="s">
        <v>29</v>
      </c>
      <c r="D24" s="12">
        <f>204.23</f>
        <v>204.23</v>
      </c>
      <c r="E24" s="12">
        <f t="shared" ref="E24" si="5">B24/D24</f>
        <v>4.4802428634382808E-2</v>
      </c>
      <c r="F24" s="12">
        <f t="shared" si="4"/>
        <v>4.4802428634382808E-2</v>
      </c>
      <c r="G24">
        <f t="shared" si="2"/>
        <v>6.9137843254461016E-3</v>
      </c>
      <c r="H24" t="s">
        <v>74</v>
      </c>
      <c r="I24" t="s">
        <v>70</v>
      </c>
      <c r="J24">
        <f t="shared" si="3"/>
        <v>-6.9137843254461016E-3</v>
      </c>
    </row>
    <row r="25" spans="1:10">
      <c r="A25" s="5" t="s">
        <v>27</v>
      </c>
      <c r="B25" s="5">
        <f>D25*E25</f>
        <v>31.842806010518409</v>
      </c>
      <c r="C25" s="14" t="s">
        <v>31</v>
      </c>
      <c r="D25" s="5">
        <f>132.12</f>
        <v>132.12</v>
      </c>
      <c r="E25" s="5">
        <f>$F$25</f>
        <v>0.24101427498121714</v>
      </c>
      <c r="F25" s="5">
        <f>E16*0.425</f>
        <v>0.24101427498121714</v>
      </c>
      <c r="G25">
        <f t="shared" si="2"/>
        <v>3.7192642617036795E-2</v>
      </c>
      <c r="H25" t="s">
        <v>73</v>
      </c>
      <c r="I25" t="s">
        <v>71</v>
      </c>
      <c r="J25">
        <f t="shared" si="3"/>
        <v>-3.7192642617036795E-2</v>
      </c>
    </row>
    <row r="26" spans="1:10">
      <c r="A26" s="8" t="s">
        <v>28</v>
      </c>
      <c r="B26" s="8">
        <f>D26*E26</f>
        <v>45.552949470536262</v>
      </c>
      <c r="C26" s="8" t="s">
        <v>31</v>
      </c>
      <c r="D26" s="8">
        <f>146.14</f>
        <v>146.13999999999999</v>
      </c>
      <c r="E26" s="8">
        <f>$F$26</f>
        <v>0.3117076055189289</v>
      </c>
      <c r="F26" s="8">
        <f>E18*0.398</f>
        <v>0.3117076055189289</v>
      </c>
      <c r="G26">
        <f t="shared" si="2"/>
        <v>4.810183784334475E-2</v>
      </c>
      <c r="H26" t="s">
        <v>76</v>
      </c>
      <c r="I26" t="s">
        <v>72</v>
      </c>
      <c r="J26">
        <f t="shared" si="3"/>
        <v>-4.810183784334475E-2</v>
      </c>
    </row>
    <row r="27" spans="1:10">
      <c r="A27" s="4" t="s">
        <v>22</v>
      </c>
      <c r="B27">
        <f>SUM(B7:B24)</f>
        <v>831.04</v>
      </c>
      <c r="F27">
        <f>SUM(F7:F26)</f>
        <v>6.4801603362962812</v>
      </c>
      <c r="H27" t="s">
        <v>77</v>
      </c>
      <c r="I27" t="s">
        <v>78</v>
      </c>
      <c r="J27">
        <f>G7</f>
        <v>4.7220123527034773E-2</v>
      </c>
    </row>
    <row r="28" spans="1:10">
      <c r="H28" t="s">
        <v>79</v>
      </c>
      <c r="I28" t="s">
        <v>80</v>
      </c>
      <c r="J28">
        <f t="shared" ref="J28:J46" si="6">G8</f>
        <v>5.3335915587273665E-2</v>
      </c>
    </row>
    <row r="29" spans="1:10">
      <c r="H29" t="s">
        <v>81</v>
      </c>
      <c r="I29" t="s">
        <v>82</v>
      </c>
      <c r="J29">
        <f t="shared" si="6"/>
        <v>2.18532401144865E-2</v>
      </c>
    </row>
    <row r="30" spans="1:10">
      <c r="H30" t="s">
        <v>83</v>
      </c>
      <c r="I30" t="s">
        <v>84</v>
      </c>
      <c r="J30">
        <f t="shared" si="6"/>
        <v>4.4823392979903162E-2</v>
      </c>
    </row>
    <row r="31" spans="1:10">
      <c r="H31" t="s">
        <v>85</v>
      </c>
      <c r="I31" t="s">
        <v>86</v>
      </c>
      <c r="J31">
        <f t="shared" si="6"/>
        <v>7.7799763195826668E-2</v>
      </c>
    </row>
    <row r="32" spans="1:10">
      <c r="H32" t="s">
        <v>87</v>
      </c>
      <c r="I32" t="s">
        <v>88</v>
      </c>
      <c r="J32">
        <f t="shared" si="6"/>
        <v>2.7044508047630245E-2</v>
      </c>
    </row>
    <row r="33" spans="8:10">
      <c r="H33" t="s">
        <v>89</v>
      </c>
      <c r="I33" t="s">
        <v>90</v>
      </c>
      <c r="J33">
        <f t="shared" si="6"/>
        <v>3.7636880380676439E-2</v>
      </c>
    </row>
    <row r="34" spans="8:10">
      <c r="H34" t="s">
        <v>91</v>
      </c>
      <c r="I34" t="s">
        <v>92</v>
      </c>
      <c r="J34">
        <f t="shared" si="6"/>
        <v>8.1660693892044764E-2</v>
      </c>
    </row>
    <row r="35" spans="8:10">
      <c r="H35" t="s">
        <v>93</v>
      </c>
      <c r="I35" t="s">
        <v>94</v>
      </c>
      <c r="J35">
        <f t="shared" si="6"/>
        <v>5.6455991462387105E-2</v>
      </c>
    </row>
    <row r="36" spans="8:10">
      <c r="H36" t="s">
        <v>95</v>
      </c>
      <c r="I36" t="s">
        <v>96</v>
      </c>
      <c r="J36">
        <f t="shared" si="6"/>
        <v>5.0319457658343905E-2</v>
      </c>
    </row>
    <row r="37" spans="8:10">
      <c r="H37" t="s">
        <v>97</v>
      </c>
      <c r="I37" t="s">
        <v>98</v>
      </c>
      <c r="J37">
        <f t="shared" si="6"/>
        <v>4.9229802329860753E-2</v>
      </c>
    </row>
    <row r="38" spans="8:10">
      <c r="H38" t="s">
        <v>99</v>
      </c>
      <c r="I38" t="s">
        <v>100</v>
      </c>
      <c r="J38">
        <f t="shared" si="6"/>
        <v>7.2757051210285265E-2</v>
      </c>
    </row>
    <row r="39" spans="8:10">
      <c r="H39" t="s">
        <v>101</v>
      </c>
      <c r="I39" t="s">
        <v>102</v>
      </c>
      <c r="J39">
        <f t="shared" si="6"/>
        <v>6.3131582153710661E-2</v>
      </c>
    </row>
    <row r="40" spans="8:10">
      <c r="H40" t="s">
        <v>103</v>
      </c>
      <c r="I40" t="s">
        <v>104</v>
      </c>
      <c r="J40">
        <f t="shared" si="6"/>
        <v>8.7241521338600234E-2</v>
      </c>
    </row>
    <row r="41" spans="8:10">
      <c r="H41" t="s">
        <v>105</v>
      </c>
      <c r="I41" t="s">
        <v>106</v>
      </c>
      <c r="J41">
        <f t="shared" si="6"/>
        <v>8.6694070339543836E-2</v>
      </c>
    </row>
    <row r="42" spans="8:10">
      <c r="H42" t="s">
        <v>107</v>
      </c>
      <c r="I42" t="s">
        <v>108</v>
      </c>
      <c r="J42">
        <f t="shared" si="6"/>
        <v>3.5762339406587441E-2</v>
      </c>
    </row>
    <row r="43" spans="8:10">
      <c r="H43" t="s">
        <v>109</v>
      </c>
      <c r="I43" t="s">
        <v>110</v>
      </c>
      <c r="J43">
        <f t="shared" si="6"/>
        <v>1.4825453486269683E-2</v>
      </c>
    </row>
    <row r="44" spans="8:10">
      <c r="H44" t="s">
        <v>111</v>
      </c>
      <c r="I44" t="s">
        <v>112</v>
      </c>
      <c r="J44">
        <f t="shared" si="6"/>
        <v>6.9137843254461016E-3</v>
      </c>
    </row>
    <row r="45" spans="8:10">
      <c r="H45" t="s">
        <v>113</v>
      </c>
      <c r="I45" t="s">
        <v>114</v>
      </c>
      <c r="J45">
        <f t="shared" si="6"/>
        <v>3.7192642617036795E-2</v>
      </c>
    </row>
    <row r="46" spans="8:10">
      <c r="H46" t="s">
        <v>115</v>
      </c>
      <c r="I46" t="s">
        <v>116</v>
      </c>
      <c r="J46">
        <f t="shared" si="6"/>
        <v>4.810183784334475E-2</v>
      </c>
    </row>
    <row r="47" spans="8:10">
      <c r="H47" t="s">
        <v>118</v>
      </c>
      <c r="I47" t="s">
        <v>117</v>
      </c>
      <c r="J47" s="13">
        <v>1</v>
      </c>
    </row>
  </sheetData>
  <mergeCells count="1">
    <mergeCell ref="A6:B6"/>
  </mergeCells>
  <phoneticPr fontId="3" type="noConversion"/>
  <hyperlinks>
    <hyperlink ref="C25" r:id="rId1" xr:uid="{E12B66DB-6CEB-488E-BA8D-D9873124DA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2025-05-06T05:33:49Z</dcterms:created>
  <dcterms:modified xsi:type="dcterms:W3CDTF">2025-06-20T02:07:20Z</dcterms:modified>
</cp:coreProperties>
</file>